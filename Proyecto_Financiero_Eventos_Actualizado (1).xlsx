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360" windowHeight="7020" activeTab="1"/>
  </bookViews>
  <sheets>
    <sheet name="Inicio" sheetId="1" r:id="rId1"/>
    <sheet name="Registro de Ingresos" sheetId="2" r:id="rId2"/>
    <sheet name="Registro de Gastos" sheetId="3" r:id="rId3"/>
    <sheet name="Balance financiero" sheetId="4" r:id="rId4"/>
    <sheet name="Dashboard" sheetId="5" r:id="rId5"/>
    <sheet name="Anexo de recibos" sheetId="6" r:id="rId6"/>
    <sheet name="Reporte fin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<sst xmlns="http://schemas.openxmlformats.org/spreadsheetml/2006/main" count="103" uniqueCount="81">
  <si>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PROYECTO DE CONTROL Y GESTIÓN FINANCIERA</t>
  </si>
  <si>
    <t>Sistema Genérico para Control de Eventos (Ingresos, Gastos y Balance)</t>
  </si>
  <si>
    <t>1. INFORMACIÓN GENERAL DEL PROYECTO</t>
  </si>
  <si>
    <t>Nombre del Proyecto:</t>
  </si>
  <si>
    <t>Plantilla Estándar de Presupuesto y Balance de Eventos</t>
  </si>
  <si>
    <t>Objetivo:</t>
  </si>
  <si>
    <t>Registrar recaudos y gastos para calcular la ganancia o saldo final</t>
  </si>
  <si>
    <t>Versión del Proyecto:</t>
  </si>
  <si>
    <t>v1.0 (Adelanto)</t>
  </si>
  <si>
    <t>Estado:</t>
  </si>
  <si>
    <t>En Desarrollo / Proyecto Base</t>
  </si>
  <si>
    <t>2. EQUIPO DE TRABAJO / INTEGRANTES</t>
  </si>
  <si>
    <t>N.°</t>
  </si>
  <si>
    <t>Nombre Completo</t>
  </si>
  <si>
    <t>Rol / Responsabilidad</t>
  </si>
  <si>
    <t>Ivan Santiago Valencia Villamil</t>
  </si>
  <si>
    <t>Líder de Proyecto / Administración</t>
  </si>
  <si>
    <t>Nicol Vanegas Cruz</t>
  </si>
  <si>
    <t>Gestión de Registro e Ingresos</t>
  </si>
  <si>
    <t>Jhonatan Andrey Melo</t>
  </si>
  <si>
    <t>Control de Gastos e Insumos</t>
  </si>
  <si>
    <t>Alejandro Martinez Rubio</t>
  </si>
  <si>
    <t>Soportes y Control de Balance</t>
  </si>
  <si>
    <t>REGISTRO DE INGRESOS</t>
  </si>
  <si>
    <t>Fecha</t>
  </si>
  <si>
    <t>Concepto</t>
  </si>
  <si>
    <t>Valor</t>
  </si>
  <si>
    <t>Responsable</t>
  </si>
  <si>
    <t>Observaciones</t>
  </si>
  <si>
    <t>2026-08-01</t>
  </si>
  <si>
    <t>Venta de entradas / boletas</t>
  </si>
  <si>
    <t>Recaudo inicial lote 1</t>
  </si>
  <si>
    <t>2026-08-02</t>
  </si>
  <si>
    <t>Cuota de aportes / participantes</t>
  </si>
  <si>
    <t>Ivan Santiago Valencia</t>
  </si>
  <si>
    <t>Aporte del equipo organizador</t>
  </si>
  <si>
    <t>2026-08-03</t>
  </si>
  <si>
    <t>Venta de productos / consumo</t>
  </si>
  <si>
    <t>Venta realizada durante el evento</t>
  </si>
  <si>
    <t>2026-08-04</t>
  </si>
  <si>
    <t>Patrocinio o apoyo externo</t>
  </si>
  <si>
    <t>Aporte en efectivo de aliado</t>
  </si>
  <si>
    <t>TOTAL INGRESOS:</t>
  </si>
  <si>
    <t>REGISTRO DE GASTOS</t>
  </si>
  <si>
    <t>Categoría</t>
  </si>
  <si>
    <t>Alquiler de lugar / sonido</t>
  </si>
  <si>
    <t>Logística</t>
  </si>
  <si>
    <t>Reserva del espacio e iluminación</t>
  </si>
  <si>
    <t>Impresión de volantes y decoración</t>
  </si>
  <si>
    <t>Publicidad</t>
  </si>
  <si>
    <t>Material impreso y pasacalles</t>
  </si>
  <si>
    <t>Compra de refrigerios y bebidas</t>
  </si>
  <si>
    <t>Alimentación</t>
  </si>
  <si>
    <t>Insumos para los asistentes</t>
  </si>
  <si>
    <t>Imprevistos y transporte</t>
  </si>
  <si>
    <t>Varios</t>
  </si>
  <si>
    <t>Aprovisionamiento de última hora</t>
  </si>
  <si>
    <t>TOTAL GASTOS:</t>
  </si>
  <si>
    <t>BALANCE FINANCIERO</t>
  </si>
  <si>
    <t>Total de Ingresos</t>
  </si>
  <si>
    <t>Total de Gastos</t>
  </si>
  <si>
    <t>Saldo</t>
  </si>
  <si>
    <t>DASHBOARD Y RESUMEN</t>
  </si>
  <si>
    <t>Indicador</t>
  </si>
  <si>
    <t>Ingresos</t>
  </si>
  <si>
    <t>Gastos</t>
  </si>
  <si>
    <t>Ganancia / Saldo</t>
  </si>
  <si>
    <t>ANEXO DE RECIBOS</t>
  </si>
  <si>
    <t>ID</t>
  </si>
  <si>
    <t>Tipo (Ingreso/Gasto)</t>
  </si>
  <si>
    <t>Nombre del archivo o enlace</t>
  </si>
  <si>
    <t>Código QR</t>
  </si>
  <si>
    <t>REPORTE FINAL</t>
  </si>
  <si>
    <t>Sección</t>
  </si>
  <si>
    <t>Detalle</t>
  </si>
  <si>
    <t>Resumen</t>
  </si>
  <si>
    <t>El evento finalizó con un saldo a favor.</t>
  </si>
  <si>
    <t>Total Ingresos</t>
  </si>
  <si>
    <t>Total Gastos</t>
  </si>
  <si>
    <t>Conclusión</t>
  </si>
  <si>
    <t>La gestión financiera fue exitosa.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</si>
</sst>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</numFmts>
  <fonts count="3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color rgb="FFC00000"/>
      <name val="Arial"/>
      <charset val="134"/>
    </font>
    <font>
      <b/>
      <sz val="11"/>
      <color rgb="FF1B365D"/>
      <name val="Arial"/>
      <charset val="134"/>
    </font>
    <font>
      <b/>
      <sz val="15"/>
      <color rgb="FFFFFFFF"/>
      <name val="Arial"/>
      <charset val="134"/>
    </font>
    <font>
      <i/>
      <sz val="10"/>
      <color rgb="FF1B365D"/>
      <name val="Arial"/>
      <charset val="134"/>
    </font>
    <font>
      <b/>
      <sz val="10"/>
      <color rgb="FF595959"/>
      <name val="Arial"/>
      <charset val="134"/>
    </font>
    <font>
      <b/>
      <sz val="10"/>
      <color rgb="FF1B365D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47E"/>
        <bgColor rgb="FF2B547E"/>
      </patternFill>
    </fill>
    <fill>
      <patternFill patternType="solid">
        <fgColor rgb="FF1B365D"/>
        <bgColor indexed="64"/>
      </patternFill>
    </fill>
    <fill>
      <patternFill patternType="solid">
        <fgColor rgb="FF2B547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B365D"/>
      </top>
      <bottom style="double">
        <color rgb="FF1B365D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78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78" fontId="6" fillId="6" borderId="2" xfId="0" applyNumberFormat="1" applyFont="1" applyFill="1" applyBorder="1"/>
    <xf numFmtId="178" fontId="7" fillId="7" borderId="2" xfId="0" applyNumberFormat="1" applyFont="1" applyFill="1" applyBorder="1"/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10" fillId="0" borderId="1" xfId="0" applyFont="1" applyBorder="1"/>
    <xf numFmtId="0" fontId="4" fillId="0" borderId="1" xfId="0" applyFont="1" applyBorder="1"/>
    <xf numFmtId="0" fontId="0" fillId="0" borderId="1" xfId="0" applyBorder="1"/>
    <xf numFmtId="0" fontId="1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Ingresos vs Gastos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Dashboard!$A$5:$A$6</c:f>
              <c:strCache>
                <c:ptCount val="2"/>
                <c:pt idx="0">
                  <c:v>Ingresos</c:v>
                </c:pt>
                <c:pt idx="1">
                  <c:v>Gastos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1960000</c:v>
                </c:pt>
                <c:pt idx="1">
                  <c:v>940000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1319ea-b5d1-4688-a471-368f777df34a}"/>
      </c:ext>
    </c:extLst>
  </c:chart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4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3267075" y="762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7"/>
  <sheetViews>
    <sheetView workbookViewId="0">
      <selection activeCell="A1" sqref="A1"/>
    </sheetView>
  </sheetViews>
  <sheetFormatPr defaultColWidth="9" defaultRowHeight="15" outlineLevelCol="5"/>
  <cols>
    <col min="1" max="1" width="2.95238095238095" customWidth="1"/>
    <col min="2" max="2" width="23.9428571428571" customWidth="1"/>
    <col min="3" max="4" width="27.9809523809524" customWidth="1"/>
    <col min="5" max="5" width="22.0571428571429" customWidth="1"/>
  </cols>
  <sheetData>
    <row r="2" spans="2:6">
      <c r="B2" s="11" t="s">
        <v>0</v>
      </c>
    </row>
    <row r="4" spans="2:6">
      <c r="B4" s="12" t="s">
        <v>1</v>
      </c>
    </row>
    <row r="6" spans="2:6">
      <c r="B6" s="13" t="s">
        <v>2</v>
      </c>
      <c r="C6" s="14"/>
      <c r="D6" s="14"/>
      <c r="E6" s="14"/>
      <c r="F6" s="15"/>
    </row>
    <row r="7" spans="2:6">
      <c r="B7" s="16" t="s">
        <v>3</v>
      </c>
      <c r="C7" s="17" t="s">
        <v>4</v>
      </c>
      <c r="D7" s="14"/>
      <c r="E7" s="14"/>
      <c r="F7" s="15"/>
    </row>
    <row r="8" spans="2:6">
      <c r="B8" s="16" t="s">
        <v>5</v>
      </c>
      <c r="C8" s="17" t="s">
        <v>6</v>
      </c>
      <c r="D8" s="14"/>
      <c r="E8" s="14"/>
      <c r="F8" s="15"/>
    </row>
    <row r="9" spans="2:6">
      <c r="B9" s="16" t="s">
        <v>7</v>
      </c>
      <c r="C9" s="17" t="s">
        <v>8</v>
      </c>
      <c r="D9" s="14"/>
      <c r="E9" s="14"/>
      <c r="F9" s="15"/>
    </row>
    <row r="10" spans="2:6">
      <c r="B10" s="16" t="s">
        <v>9</v>
      </c>
      <c r="C10" s="17" t="s">
        <v>10</v>
      </c>
      <c r="D10" s="14"/>
      <c r="E10" s="14"/>
      <c r="F10" s="15"/>
    </row>
    <row r="11" spans="2:6">
      <c r="B11" s="18"/>
      <c r="C11" s="18"/>
      <c r="D11" s="18"/>
      <c r="E11" s="18"/>
      <c r="F11" s="18"/>
    </row>
    <row r="12" spans="2:6">
      <c r="B12" s="13" t="s">
        <v>11</v>
      </c>
      <c r="C12" s="14"/>
      <c r="D12" s="14"/>
      <c r="E12" s="14"/>
      <c r="F12" s="15"/>
    </row>
    <row r="13" spans="2:6">
      <c r="B13" s="19" t="s">
        <v>12</v>
      </c>
      <c r="C13" s="19" t="s">
        <v>13</v>
      </c>
      <c r="D13" s="15"/>
      <c r="E13" s="19" t="s">
        <v>14</v>
      </c>
      <c r="F13" s="15"/>
    </row>
    <row r="14" spans="2:6">
      <c r="B14" s="20">
        <v>1</v>
      </c>
      <c r="C14" s="21" t="s">
        <v>15</v>
      </c>
      <c r="D14" s="15"/>
      <c r="E14" s="21" t="s">
        <v>16</v>
      </c>
      <c r="F14" s="15"/>
    </row>
    <row r="15" spans="2:6">
      <c r="B15" s="22">
        <v>2</v>
      </c>
      <c r="C15" s="23" t="s">
        <v>17</v>
      </c>
      <c r="D15" s="15"/>
      <c r="E15" s="23" t="s">
        <v>18</v>
      </c>
      <c r="F15" s="15"/>
    </row>
    <row r="16" spans="2:6">
      <c r="B16" s="20">
        <v>3</v>
      </c>
      <c r="C16" s="21" t="s">
        <v>19</v>
      </c>
      <c r="D16" s="15"/>
      <c r="E16" s="21" t="s">
        <v>20</v>
      </c>
      <c r="F16" s="15"/>
    </row>
    <row r="17" spans="2:6">
      <c r="B17" s="22">
        <v>4</v>
      </c>
      <c r="C17" s="23" t="s">
        <v>21</v>
      </c>
      <c r="D17" s="15"/>
      <c r="E17" s="23" t="s">
        <v>22</v>
      </c>
      <c r="F17" s="15"/>
    </row>
  </sheetData>
  <mergeCells count="18">
    <mergeCell ref="B4:F4"/>
    <mergeCell ref="B6:F6"/>
    <mergeCell ref="C7:F7"/>
    <mergeCell ref="C8:F8"/>
    <mergeCell ref="C9:F9"/>
    <mergeCell ref="C10:F10"/>
    <mergeCell ref="B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B2:F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:E1"/>
    </sheetView>
  </sheetViews>
  <sheetFormatPr defaultColWidth="9" defaultRowHeight="15" outlineLevelCol="4"/>
  <cols>
    <col min="1" max="1" width="13.9904761904762" customWidth="1"/>
    <col min="2" max="2" width="37.9333333333333" customWidth="1"/>
    <col min="3" max="3" width="18.0190476190476" customWidth="1"/>
    <col min="4" max="4" width="27.9809523809524" customWidth="1"/>
    <col min="5" max="5" width="34.9714285714286" customWidth="1"/>
  </cols>
  <sheetData>
    <row r="1" ht="35.1" customHeight="1" spans="1:5">
      <c r="A1" s="3" t="s">
        <v>23</v>
      </c>
    </row>
    <row r="3" ht="24" customHeight="1" spans="1:5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</row>
    <row r="4" spans="1:5">
      <c r="A4" s="5" t="s">
        <v>29</v>
      </c>
      <c r="B4" s="6" t="s">
        <v>30</v>
      </c>
      <c r="C4" s="7">
        <v>450000</v>
      </c>
      <c r="D4" s="6" t="s">
        <v>17</v>
      </c>
      <c r="E4" s="6" t="s">
        <v>31</v>
      </c>
    </row>
    <row r="5" spans="1:5">
      <c r="A5" s="5" t="s">
        <v>32</v>
      </c>
      <c r="B5" s="6" t="s">
        <v>33</v>
      </c>
      <c r="C5" s="7">
        <v>200000</v>
      </c>
      <c r="D5" s="6" t="s">
        <v>34</v>
      </c>
      <c r="E5" s="6" t="s">
        <v>35</v>
      </c>
    </row>
    <row r="6" spans="1:5">
      <c r="A6" s="5" t="s">
        <v>36</v>
      </c>
      <c r="B6" s="6" t="s">
        <v>37</v>
      </c>
      <c r="C6" s="7">
        <v>180000</v>
      </c>
      <c r="D6" s="6" t="s">
        <v>17</v>
      </c>
      <c r="E6" s="6" t="s">
        <v>38</v>
      </c>
    </row>
    <row r="7" spans="1:5">
      <c r="A7" s="5" t="s">
        <v>39</v>
      </c>
      <c r="B7" s="6" t="s">
        <v>40</v>
      </c>
      <c r="C7" s="7">
        <v>150000</v>
      </c>
      <c r="D7" s="6" t="s">
        <v>19</v>
      </c>
      <c r="E7" s="6" t="s">
        <v>41</v>
      </c>
    </row>
    <row r="8" ht="15.75" spans="1:5">
      <c r="B8" s="8" t="s">
        <v>42</v>
      </c>
      <c r="C8" s="10">
        <f>SUM(C4:C7)</f>
        <v>980000</v>
      </c>
    </row>
    <row r="9" ht="15.75"/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1"/>
    </sheetView>
  </sheetViews>
  <sheetFormatPr defaultColWidth="9" defaultRowHeight="15" outlineLevelCol="5"/>
  <cols>
    <col min="1" max="1" width="13.9904761904762" customWidth="1"/>
    <col min="2" max="2" width="34.9714285714286" customWidth="1"/>
    <col min="3" max="4" width="18.0190476190476" customWidth="1"/>
    <col min="5" max="5" width="27.9809523809524" customWidth="1"/>
    <col min="6" max="6" width="34.9714285714286" customWidth="1"/>
  </cols>
  <sheetData>
    <row r="1" ht="35.1" customHeight="1" spans="1:6">
      <c r="A1" s="3" t="s">
        <v>43</v>
      </c>
    </row>
    <row r="3" ht="24" customHeight="1" spans="1:6">
      <c r="A3" s="4" t="s">
        <v>24</v>
      </c>
      <c r="B3" s="4" t="s">
        <v>25</v>
      </c>
      <c r="C3" s="4" t="s">
        <v>44</v>
      </c>
      <c r="D3" s="4" t="s">
        <v>26</v>
      </c>
      <c r="E3" s="4" t="s">
        <v>27</v>
      </c>
      <c r="F3" s="4" t="s">
        <v>28</v>
      </c>
    </row>
    <row r="4" spans="1:6">
      <c r="A4" s="5" t="s">
        <v>29</v>
      </c>
      <c r="B4" s="6" t="s">
        <v>45</v>
      </c>
      <c r="C4" s="6" t="s">
        <v>46</v>
      </c>
      <c r="D4" s="7">
        <v>250000</v>
      </c>
      <c r="E4" s="6" t="s">
        <v>19</v>
      </c>
      <c r="F4" s="6" t="s">
        <v>47</v>
      </c>
    </row>
    <row r="5" spans="1:6">
      <c r="A5" s="5" t="s">
        <v>29</v>
      </c>
      <c r="B5" s="6" t="s">
        <v>48</v>
      </c>
      <c r="C5" s="6" t="s">
        <v>49</v>
      </c>
      <c r="D5" s="7">
        <v>60000</v>
      </c>
      <c r="E5" s="6" t="s">
        <v>21</v>
      </c>
      <c r="F5" s="6" t="s">
        <v>50</v>
      </c>
    </row>
    <row r="6" spans="1:6">
      <c r="A6" s="5" t="s">
        <v>32</v>
      </c>
      <c r="B6" s="6" t="s">
        <v>51</v>
      </c>
      <c r="C6" s="6" t="s">
        <v>52</v>
      </c>
      <c r="D6" s="7">
        <v>120000</v>
      </c>
      <c r="E6" s="6" t="s">
        <v>19</v>
      </c>
      <c r="F6" s="6" t="s">
        <v>53</v>
      </c>
    </row>
    <row r="7" spans="1:6">
      <c r="A7" s="5" t="s">
        <v>36</v>
      </c>
      <c r="B7" s="6" t="s">
        <v>54</v>
      </c>
      <c r="C7" s="6" t="s">
        <v>55</v>
      </c>
      <c r="D7" s="7">
        <v>40000</v>
      </c>
      <c r="E7" s="6" t="s">
        <v>21</v>
      </c>
      <c r="F7" s="6" t="s">
        <v>56</v>
      </c>
    </row>
    <row r="8" ht="15.75" spans="1:6">
      <c r="C8" s="8" t="s">
        <v>57</v>
      </c>
      <c r="D8" s="9">
        <f>SUM(D4:D7)</f>
        <v>470000</v>
      </c>
    </row>
    <row r="9" ht="15.75"/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1"/>
    </sheetView>
  </sheetViews>
  <sheetFormatPr defaultColWidth="9" defaultRowHeight="15" outlineLevelRow="6" outlineLevelCol="1"/>
  <cols>
    <col min="1" max="2" width="20" customWidth="1"/>
  </cols>
  <sheetData>
    <row r="1" spans="1:2">
      <c r="A1" s="1" t="s">
        <v>58</v>
      </c>
    </row>
    <row r="3" spans="1:2">
      <c r="A3" s="2" t="s">
        <v>25</v>
      </c>
      <c r="B3" s="2" t="s">
        <v>26</v>
      </c>
    </row>
    <row r="5" spans="1:2">
      <c r="A5" t="s">
        <v>59</v>
      </c>
      <c r="B5">
        <f>SUM('Registro de Ingresos'!C:C)</f>
        <v>1960000</v>
      </c>
    </row>
    <row r="6" spans="1:2">
      <c r="A6" t="s">
        <v>60</v>
      </c>
      <c r="B6">
        <f>SUM('Registro de Gastos'!D:D)</f>
        <v>940000</v>
      </c>
    </row>
    <row r="7" spans="1:2">
      <c r="A7" t="s">
        <v>61</v>
      </c>
      <c r="B7">
        <f>B5-B6</f>
        <v>1020000</v>
      </c>
    </row>
  </sheetData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1"/>
    </sheetView>
  </sheetViews>
  <sheetFormatPr defaultColWidth="9" defaultRowHeight="15" outlineLevelRow="6" outlineLevelCol="1"/>
  <cols>
    <col min="1" max="2" width="20" customWidth="1"/>
  </cols>
  <sheetData>
    <row r="1" spans="1:2">
      <c r="A1" s="1" t="s">
        <v>62</v>
      </c>
    </row>
    <row r="3" spans="1:2">
      <c r="A3" s="2" t="s">
        <v>63</v>
      </c>
      <c r="B3" s="2" t="s">
        <v>26</v>
      </c>
    </row>
    <row r="5" spans="1:2">
      <c r="A5" t="s">
        <v>64</v>
      </c>
      <c r="B5">
        <f>'Balance financiero'!B5</f>
        <v>1960000</v>
      </c>
    </row>
    <row r="6" spans="1:2">
      <c r="A6" t="s">
        <v>65</v>
      </c>
      <c r="B6">
        <f>'Balance financiero'!B6</f>
        <v>940000</v>
      </c>
    </row>
    <row r="7" spans="1:2">
      <c r="A7" t="s">
        <v>66</v>
      </c>
      <c r="B7">
        <f>'Balance financiero'!B7</f>
        <v>1020000</v>
      </c>
    </row>
  </sheetData>
  <mergeCells count="1">
    <mergeCell ref="A1:B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:G1"/>
    </sheetView>
  </sheetViews>
  <sheetFormatPr defaultColWidth="9" defaultRowHeight="15" outlineLevelRow="2" outlineLevelCol="6"/>
  <cols>
    <col min="1" max="7" width="20" customWidth="1"/>
  </cols>
  <sheetData>
    <row r="1" spans="1:7">
      <c r="A1" s="1" t="s">
        <v>67</v>
      </c>
    </row>
    <row r="3" spans="1:7">
      <c r="A3" s="2" t="s">
        <v>68</v>
      </c>
      <c r="B3" s="2" t="s">
        <v>24</v>
      </c>
      <c r="C3" s="2" t="s">
        <v>69</v>
      </c>
      <c r="D3" s="2" t="s">
        <v>25</v>
      </c>
      <c r="E3" s="2" t="s">
        <v>26</v>
      </c>
      <c r="F3" s="2" t="s">
        <v>70</v>
      </c>
      <c r="G3" s="2" t="s">
        <v>71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:B1"/>
    </sheetView>
  </sheetViews>
  <sheetFormatPr defaultColWidth="9" defaultRowHeight="15" outlineLevelRow="7" outlineLevelCol="1"/>
  <cols>
    <col min="1" max="1" width="20" customWidth="1"/>
    <col min="2" max="2" width="50" customWidth="1"/>
  </cols>
  <sheetData>
    <row r="1" spans="1:2">
      <c r="A1" s="1" t="s">
        <v>72</v>
      </c>
    </row>
    <row r="3" spans="1:2">
      <c r="A3" s="2" t="s">
        <v>73</v>
      </c>
      <c r="B3" s="2" t="s">
        <v>74</v>
      </c>
    </row>
    <row r="5" spans="1:2">
      <c r="A5" t="s">
        <v>75</v>
      </c>
      <c r="B5" t="s">
        <v>76</v>
      </c>
    </row>
    <row r="6" spans="1:2">
      <c r="A6" t="s">
        <v>77</v>
      </c>
      <c r="B6">
        <f>'Balance financiero'!B5</f>
        <v>1960000</v>
      </c>
    </row>
    <row r="7" spans="1:2">
      <c r="A7" t="s">
        <v>78</v>
      </c>
      <c r="B7">
        <f>'Balance financiero'!B6</f>
        <v>940000</v>
      </c>
    </row>
    <row r="8" spans="1:2">
      <c r="A8" t="s">
        <v>79</v>
      </c>
      <c r="B8" t="s">
        <v>80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Inicio</vt:lpstr>
      <vt:lpstr>Registro de Ingresos</vt:lpstr>
      <vt:lpstr>Registro de Gastos</vt:lpstr>
      <vt:lpstr>Balance financiero</vt:lpstr>
      <vt:lpstr>Dashboard</vt:lpstr>
      <vt:lpstr>Anexo de recibos</vt:lpstr>
      <vt:lpstr>Reporte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lidis</cp:lastModifiedBy>
  <dcterms:created xsi:type="dcterms:W3CDTF">2026-08-04T02:12:00Z</dcterms:created>
  <dcterms:modified xsi:type="dcterms:W3CDTF">2026-08-24T02:40:06Z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4B3CA20CAE1F452F8CEA735E7FBC0680_13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